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e\Desktop\"/>
    </mc:Choice>
  </mc:AlternateContent>
  <xr:revisionPtr revIDLastSave="0" documentId="13_ncr:1_{22227049-9759-41D5-9B45-E40BE67FEE01}" xr6:coauthVersionLast="47" xr6:coauthVersionMax="47" xr10:uidLastSave="{00000000-0000-0000-0000-000000000000}"/>
  <bookViews>
    <workbookView xWindow="-108" yWindow="-108" windowWidth="23256" windowHeight="12456" xr2:uid="{09E66F42-C6CF-431A-A94D-9E4F3DE5465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E4" i="1" s="1"/>
</calcChain>
</file>

<file path=xl/sharedStrings.xml><?xml version="1.0" encoding="utf-8"?>
<sst xmlns="http://schemas.openxmlformats.org/spreadsheetml/2006/main" count="32" uniqueCount="31">
  <si>
    <t>Vlamax</t>
  </si>
  <si>
    <t>Test Duration (sec)</t>
  </si>
  <si>
    <t>YOUR VALUE</t>
  </si>
  <si>
    <t>SCIENTIFIC RECOMMENDATION</t>
  </si>
  <si>
    <t>Between 8-12 sec</t>
  </si>
  <si>
    <t>Should be ≤ 1.5 mmol·L⁻¹</t>
  </si>
  <si>
    <t>Post 1min</t>
  </si>
  <si>
    <t>Post 2min</t>
  </si>
  <si>
    <t>Post 3min</t>
  </si>
  <si>
    <t>Post 4min</t>
  </si>
  <si>
    <t>Post 5min</t>
  </si>
  <si>
    <t>Post 6min</t>
  </si>
  <si>
    <t>Post 7min</t>
  </si>
  <si>
    <t>Post 8min</t>
  </si>
  <si>
    <t>Post 9min</t>
  </si>
  <si>
    <t>Post 10min</t>
  </si>
  <si>
    <t>Immediately at the end</t>
  </si>
  <si>
    <t>Peak Blood Lactate Concentration</t>
  </si>
  <si>
    <t>Alactic Time (sec)</t>
  </si>
  <si>
    <t>3 sec</t>
  </si>
  <si>
    <t>INSTRUCTIONS</t>
  </si>
  <si>
    <t>REFERENCE</t>
  </si>
  <si>
    <t>vLaMax Calculator</t>
  </si>
  <si>
    <r>
      <t>1) Langley, jamie, Haase, R., Nitzsche, N., &amp; Porter, M. (2025). Methodological Approaches in Testing Maximal Lactate Accumulation Rate - νLamax: A Systematic Review. </t>
    </r>
    <r>
      <rPr>
        <i/>
        <sz val="11"/>
        <color theme="1"/>
        <rFont val="Aptos Narrow"/>
        <family val="2"/>
        <scheme val="minor"/>
      </rPr>
      <t>Journal of Science and Cycling</t>
    </r>
    <r>
      <rPr>
        <sz val="11"/>
        <color theme="1"/>
        <rFont val="Aptos Narrow"/>
        <family val="2"/>
        <scheme val="minor"/>
      </rPr>
      <t>, </t>
    </r>
    <r>
      <rPr>
        <i/>
        <sz val="11"/>
        <color theme="1"/>
        <rFont val="Aptos Narrow"/>
        <family val="2"/>
        <scheme val="minor"/>
      </rPr>
      <t>14</t>
    </r>
    <r>
      <rPr>
        <sz val="11"/>
        <color theme="1"/>
        <rFont val="Aptos Narrow"/>
        <family val="2"/>
        <scheme val="minor"/>
      </rPr>
      <t>(1), 9. https://doi.org/10.28985/1425.jsc.09</t>
    </r>
  </si>
  <si>
    <t>1) Put the value of the test you performed in cells C4-C19.</t>
  </si>
  <si>
    <t>2) You will see the vLamax value in cell E5.</t>
  </si>
  <si>
    <t xml:space="preserve">We recommend to read this article before performing the vlamax test: </t>
  </si>
  <si>
    <t>https://knowledgeiswatt.substack.com/p/129-the-10-pillars-of-a-reliable?r=1w265j</t>
  </si>
  <si>
    <t>Pre-Test Blood Lactate Concentration (mmol/L)</t>
  </si>
  <si>
    <t>Post-Test Blood Lactate Concentration (mmol/L)</t>
  </si>
  <si>
    <t>Designed by Gabriele Gallo, 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</si>
</sst>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0" borderId="8" xfId="0" applyFont="1" applyBorder="1"/>
    <xf numFmtId="0" fontId="1" fillId="0" borderId="7" xfId="0" applyFont="1" applyBorder="1"/>
    <xf numFmtId="0" fontId="0" fillId="0" borderId="8" xfId="0" applyBorder="1" applyAlignment="1">
      <alignment vertical="center" wrapText="1"/>
    </xf>
    <xf numFmtId="0" fontId="0" fillId="0" borderId="7" xfId="0" applyBorder="1"/>
    <xf numFmtId="0" fontId="0" fillId="0" borderId="3" xfId="0" applyBorder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800100</xdr:colOff>
      <xdr:row>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35630-019F-492D-B2A8-12C1A058D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2920"/>
          <a:ext cx="5509260" cy="998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C4E2-F3AE-4F6D-95B0-A259A3922DF7}">
  <dimension ref="A1:H24"/>
  <sheetViews>
    <sheetView tabSelected="1" workbookViewId="0">
      <selection activeCell="H2" sqref="H2"/>
    </sheetView>
  </sheetViews>
  <sheetFormatPr defaultRowHeight="14.4" x14ac:dyDescent="0.3"/>
  <cols>
    <col min="1" max="1" width="40.33203125" customWidth="1"/>
    <col min="2" max="2" width="28.33203125" customWidth="1"/>
    <col min="3" max="3" width="11.77734375" customWidth="1"/>
    <col min="8" max="8" width="71.5546875" customWidth="1"/>
  </cols>
  <sheetData>
    <row r="1" spans="1:8" ht="39.6" customHeight="1" thickTop="1" thickBot="1" x14ac:dyDescent="0.35">
      <c r="A1" s="13" t="s">
        <v>22</v>
      </c>
      <c r="B1" s="14"/>
      <c r="C1" s="15"/>
    </row>
    <row r="2" spans="1:8" ht="78" customHeight="1" thickTop="1" thickBot="1" x14ac:dyDescent="0.5">
      <c r="D2" s="13" t="s">
        <v>30</v>
      </c>
      <c r="E2" s="14"/>
      <c r="F2" s="14"/>
      <c r="G2" s="15"/>
      <c r="H2" s="11" t="s">
        <v>20</v>
      </c>
    </row>
    <row r="3" spans="1:8" ht="16.8" customHeight="1" thickTop="1" thickBot="1" x14ac:dyDescent="0.35">
      <c r="A3" s="8"/>
      <c r="B3" s="8" t="s">
        <v>3</v>
      </c>
      <c r="C3" s="8" t="s">
        <v>2</v>
      </c>
      <c r="D3" s="1"/>
      <c r="E3" s="1"/>
      <c r="F3" s="1"/>
      <c r="G3" s="9"/>
      <c r="H3" t="s">
        <v>24</v>
      </c>
    </row>
    <row r="4" spans="1:8" ht="15" thickTop="1" x14ac:dyDescent="0.3">
      <c r="A4" s="5" t="s">
        <v>1</v>
      </c>
      <c r="B4" s="4" t="s">
        <v>4</v>
      </c>
      <c r="C4" s="4"/>
      <c r="D4" s="10" t="s">
        <v>0</v>
      </c>
      <c r="E4" t="e">
        <f>(C20-C6)/(C4-C5)</f>
        <v>#DIV/0!</v>
      </c>
      <c r="G4" s="2"/>
      <c r="H4" t="s">
        <v>25</v>
      </c>
    </row>
    <row r="5" spans="1:8" ht="14.4" customHeight="1" x14ac:dyDescent="0.3">
      <c r="A5" s="5" t="s">
        <v>18</v>
      </c>
      <c r="B5" s="4" t="s">
        <v>19</v>
      </c>
      <c r="C5" s="4"/>
      <c r="G5" s="2"/>
      <c r="H5" s="12" t="s">
        <v>26</v>
      </c>
    </row>
    <row r="6" spans="1:8" x14ac:dyDescent="0.3">
      <c r="A6" s="5" t="s">
        <v>28</v>
      </c>
      <c r="B6" s="4" t="s">
        <v>5</v>
      </c>
      <c r="C6" s="4"/>
      <c r="G6" s="2"/>
      <c r="H6" t="s">
        <v>27</v>
      </c>
    </row>
    <row r="7" spans="1:8" x14ac:dyDescent="0.3">
      <c r="A7" s="5" t="s">
        <v>29</v>
      </c>
      <c r="B7" s="4"/>
      <c r="C7" s="4"/>
      <c r="G7" s="2"/>
    </row>
    <row r="8" spans="1:8" x14ac:dyDescent="0.3">
      <c r="A8" s="4" t="s">
        <v>16</v>
      </c>
      <c r="B8" s="4"/>
      <c r="C8" s="4"/>
      <c r="G8" s="2"/>
    </row>
    <row r="9" spans="1:8" x14ac:dyDescent="0.3">
      <c r="A9" s="4" t="s">
        <v>6</v>
      </c>
      <c r="B9" s="4"/>
      <c r="C9" s="4"/>
      <c r="G9" s="2"/>
    </row>
    <row r="10" spans="1:8" x14ac:dyDescent="0.3">
      <c r="A10" s="4" t="s">
        <v>6</v>
      </c>
      <c r="B10" s="7"/>
      <c r="C10" s="4"/>
      <c r="G10" s="2"/>
    </row>
    <row r="11" spans="1:8" x14ac:dyDescent="0.3">
      <c r="A11" s="4" t="s">
        <v>7</v>
      </c>
      <c r="B11" s="7"/>
      <c r="C11" s="4"/>
      <c r="G11" s="2"/>
    </row>
    <row r="12" spans="1:8" x14ac:dyDescent="0.3">
      <c r="A12" s="4" t="s">
        <v>8</v>
      </c>
      <c r="B12" s="7"/>
      <c r="C12" s="4"/>
      <c r="G12" s="2"/>
    </row>
    <row r="13" spans="1:8" x14ac:dyDescent="0.3">
      <c r="A13" s="4" t="s">
        <v>9</v>
      </c>
      <c r="B13" s="7"/>
      <c r="C13" s="4"/>
      <c r="G13" s="2"/>
    </row>
    <row r="14" spans="1:8" x14ac:dyDescent="0.3">
      <c r="A14" s="4" t="s">
        <v>10</v>
      </c>
      <c r="B14" s="7"/>
      <c r="C14" s="4"/>
      <c r="G14" s="2"/>
    </row>
    <row r="15" spans="1:8" x14ac:dyDescent="0.3">
      <c r="A15" s="4" t="s">
        <v>11</v>
      </c>
      <c r="B15" s="7"/>
      <c r="C15" s="4"/>
      <c r="G15" s="2"/>
    </row>
    <row r="16" spans="1:8" x14ac:dyDescent="0.3">
      <c r="A16" s="4" t="s">
        <v>12</v>
      </c>
      <c r="B16" s="7"/>
      <c r="C16" s="4"/>
      <c r="G16" s="2"/>
    </row>
    <row r="17" spans="1:7" x14ac:dyDescent="0.3">
      <c r="A17" s="4" t="s">
        <v>13</v>
      </c>
      <c r="B17" s="4"/>
      <c r="C17" s="4"/>
      <c r="G17" s="2"/>
    </row>
    <row r="18" spans="1:7" x14ac:dyDescent="0.3">
      <c r="A18" s="4" t="s">
        <v>14</v>
      </c>
      <c r="B18" s="4"/>
      <c r="C18" s="4"/>
      <c r="G18" s="2"/>
    </row>
    <row r="19" spans="1:7" x14ac:dyDescent="0.3">
      <c r="A19" s="4" t="s">
        <v>15</v>
      </c>
      <c r="B19" s="4"/>
      <c r="C19" s="4"/>
      <c r="G19" s="2"/>
    </row>
    <row r="20" spans="1:7" ht="15" thickBot="1" x14ac:dyDescent="0.35">
      <c r="A20" s="6" t="s">
        <v>17</v>
      </c>
      <c r="B20" s="8"/>
      <c r="C20" s="8">
        <f>MAX(C8:C19)</f>
        <v>0</v>
      </c>
      <c r="D20" s="1"/>
      <c r="E20" s="1"/>
      <c r="F20" s="1"/>
      <c r="G20" s="3"/>
    </row>
    <row r="21" spans="1:7" ht="15" thickTop="1" x14ac:dyDescent="0.3"/>
    <row r="23" spans="1:7" ht="23.4" x14ac:dyDescent="0.45">
      <c r="A23" s="11" t="s">
        <v>21</v>
      </c>
    </row>
    <row r="24" spans="1:7" x14ac:dyDescent="0.3">
      <c r="A24" t="s">
        <v>23</v>
      </c>
    </row>
  </sheetData>
  <mergeCells count="2">
    <mergeCell ref="D2:G2"/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Gallo</dc:creator>
  <cp:lastModifiedBy>Gabriele Gallo</cp:lastModifiedBy>
  <dcterms:created xsi:type="dcterms:W3CDTF">2025-12-30T11:15:05Z</dcterms:created>
  <dcterms:modified xsi:type="dcterms:W3CDTF">2026-01-20T11:13:42Z</dcterms:modified>
</cp:coreProperties>
</file>